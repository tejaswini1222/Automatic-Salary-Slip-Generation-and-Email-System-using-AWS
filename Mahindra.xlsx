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eclipse-workspace\payslip\"/>
    </mc:Choice>
  </mc:AlternateContent>
  <xr:revisionPtr revIDLastSave="0" documentId="13_ncr:1_{265947B2-E7F6-4CC7-8199-788D10E43058}" xr6:coauthVersionLast="36" xr6:coauthVersionMax="36" xr10:uidLastSave="{00000000-0000-0000-0000-000000000000}"/>
  <bookViews>
    <workbookView xWindow="0" yWindow="0" windowWidth="23040" windowHeight="8652" tabRatio="741" xr2:uid="{00000000-000D-0000-FFFF-FFFF00000000}"/>
  </bookViews>
  <sheets>
    <sheet name="Paysheet" sheetId="27" r:id="rId1"/>
  </sheets>
  <definedNames>
    <definedName name="_xlnm._FilterDatabase" localSheetId="0" hidden="1">Paysheet!$A$1:$AL$8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27" l="1"/>
  <c r="W8" i="27" l="1"/>
  <c r="Q8" i="27"/>
  <c r="S8" i="27"/>
  <c r="V8" i="27"/>
  <c r="X8" i="27"/>
  <c r="Z8" i="27"/>
  <c r="AA8" i="27"/>
  <c r="AB8" i="27"/>
  <c r="AC8" i="27"/>
  <c r="AD8" i="27"/>
  <c r="AE8" i="27"/>
  <c r="AF8" i="27"/>
  <c r="AG8" i="27"/>
  <c r="AH8" i="27"/>
  <c r="AI8" i="27"/>
  <c r="O8" i="27"/>
  <c r="M7" i="27" l="1"/>
  <c r="N7" i="27"/>
  <c r="T7" i="27"/>
  <c r="U7" i="27" s="1"/>
  <c r="Y7" i="27" s="1"/>
  <c r="AJ7" i="27"/>
  <c r="AK7" i="27" l="1"/>
  <c r="M2" i="27" l="1"/>
  <c r="N2" i="27"/>
  <c r="T2" i="27"/>
  <c r="U2" i="27" s="1"/>
  <c r="Y2" i="27" s="1"/>
  <c r="AJ2" i="27"/>
  <c r="M5" i="27"/>
  <c r="N5" i="27"/>
  <c r="T5" i="27"/>
  <c r="U5" i="27" s="1"/>
  <c r="Y5" i="27" s="1"/>
  <c r="AJ5" i="27"/>
  <c r="M4" i="27"/>
  <c r="N4" i="27"/>
  <c r="T4" i="27"/>
  <c r="U4" i="27" s="1"/>
  <c r="Y4" i="27" s="1"/>
  <c r="AJ4" i="27"/>
  <c r="AK5" i="27" l="1"/>
  <c r="AK2" i="27"/>
  <c r="AK4" i="27"/>
  <c r="AJ3" i="27" l="1"/>
  <c r="M3" i="27" l="1"/>
  <c r="N3" i="27"/>
  <c r="T3" i="27"/>
  <c r="U3" i="27" s="1"/>
  <c r="Y3" i="27" s="1"/>
  <c r="M6" i="27"/>
  <c r="N6" i="27"/>
  <c r="T6" i="27"/>
  <c r="U6" i="27" s="1"/>
  <c r="Y6" i="27" s="1"/>
  <c r="AJ6" i="27"/>
  <c r="AK6" i="27" l="1"/>
  <c r="AK3" i="27"/>
  <c r="AJ8" i="27" l="1"/>
  <c r="T8" i="27"/>
  <c r="U8" i="27" l="1"/>
  <c r="Y8" i="27" l="1"/>
  <c r="AK8" i="27" l="1"/>
</calcChain>
</file>

<file path=xl/sharedStrings.xml><?xml version="1.0" encoding="utf-8"?>
<sst xmlns="http://schemas.openxmlformats.org/spreadsheetml/2006/main" count="90" uniqueCount="81">
  <si>
    <t>AJAY  YADAV</t>
  </si>
  <si>
    <t>Total Days</t>
  </si>
  <si>
    <t>Sr. No.</t>
  </si>
  <si>
    <t>Employee Code</t>
  </si>
  <si>
    <t>Name</t>
  </si>
  <si>
    <t>Aadhar Number</t>
  </si>
  <si>
    <t>Bank Name</t>
  </si>
  <si>
    <t>Bank Account Number</t>
  </si>
  <si>
    <t>IFSC Code</t>
  </si>
  <si>
    <t>Stipend Rate</t>
  </si>
  <si>
    <t>Stipend Per Day</t>
  </si>
  <si>
    <t>Total Stipend</t>
  </si>
  <si>
    <t xml:space="preserve">Attendance Bonus </t>
  </si>
  <si>
    <t>Gross Total Stipend</t>
  </si>
  <si>
    <t>Canteen Deduction</t>
  </si>
  <si>
    <t>ID Card  Deduction</t>
  </si>
  <si>
    <t>Advance Deduction</t>
  </si>
  <si>
    <t xml:space="preserve">Shoes Deduction </t>
  </si>
  <si>
    <t>Bus Deduction</t>
  </si>
  <si>
    <t>Admission Deduction</t>
  </si>
  <si>
    <t>Medical Deduction</t>
  </si>
  <si>
    <t>Excess Amount Deduction</t>
  </si>
  <si>
    <t>Left Trainee Deduction</t>
  </si>
  <si>
    <t xml:space="preserve">Total Deduction </t>
  </si>
  <si>
    <t>Final Stipend</t>
  </si>
  <si>
    <t>AIRP0000001</t>
  </si>
  <si>
    <t>STATE BANK OF INDIA</t>
  </si>
  <si>
    <t>BANK OF BARODA</t>
  </si>
  <si>
    <t>PUNJAB NATIONAL BANK</t>
  </si>
  <si>
    <t>ARREAR</t>
  </si>
  <si>
    <t>HDFC BANK</t>
  </si>
  <si>
    <t>AJAY  CHOPDE</t>
  </si>
  <si>
    <t>AJEET  PANDEY</t>
  </si>
  <si>
    <t>ABHISHEK  TANWAR</t>
  </si>
  <si>
    <t>AJAY  GURJAR</t>
  </si>
  <si>
    <t>Total OT Amount Dec&amp; Jan</t>
  </si>
  <si>
    <t>AKASH TIRLOE</t>
  </si>
  <si>
    <t>Dress Deduction</t>
  </si>
  <si>
    <t>okay</t>
  </si>
  <si>
    <t>302236828370</t>
  </si>
  <si>
    <t>42198100002367</t>
  </si>
  <si>
    <t>BARB0PANDUR</t>
  </si>
  <si>
    <t>520710393687</t>
  </si>
  <si>
    <t>42231464627</t>
  </si>
  <si>
    <t>SBIN0010827</t>
  </si>
  <si>
    <t>770530801234</t>
  </si>
  <si>
    <t>43418244106</t>
  </si>
  <si>
    <t>SBIN0004415</t>
  </si>
  <si>
    <t>393395073775</t>
  </si>
  <si>
    <t>50100381174843</t>
  </si>
  <si>
    <t>HDFC0001240</t>
  </si>
  <si>
    <t>285028116161</t>
  </si>
  <si>
    <t>1161001500025521</t>
  </si>
  <si>
    <t>PUNB0116100</t>
  </si>
  <si>
    <t>AIRTEL PAYMENTS BANK LIMITED</t>
  </si>
  <si>
    <t>8878883187</t>
  </si>
  <si>
    <t>282103959869</t>
  </si>
  <si>
    <t xml:space="preserve"> 14/01/2026</t>
  </si>
  <si>
    <t xml:space="preserve"> 16/01/2026</t>
  </si>
  <si>
    <t xml:space="preserve"> 21/01/2026</t>
  </si>
  <si>
    <t xml:space="preserve"> 27/01/2026</t>
  </si>
  <si>
    <t>Gate Pass</t>
  </si>
  <si>
    <t>DOJ</t>
  </si>
  <si>
    <t>DOB</t>
  </si>
  <si>
    <t>Department</t>
  </si>
  <si>
    <t>Gmail</t>
  </si>
  <si>
    <t>MACHINE SHOP</t>
  </si>
  <si>
    <t>QUALITY ASSURENACE</t>
  </si>
  <si>
    <t>Motorcycle</t>
  </si>
  <si>
    <t xml:space="preserve"> 09/01/1998</t>
  </si>
  <si>
    <t xml:space="preserve"> 19/07/2001</t>
  </si>
  <si>
    <t xml:space="preserve"> 20/06/2002</t>
  </si>
  <si>
    <t xml:space="preserve"> 10/08/2003</t>
  </si>
  <si>
    <t xml:space="preserve"> 07/08/2002</t>
  </si>
  <si>
    <t>TRAINEE</t>
  </si>
  <si>
    <t>TRAINEE.</t>
  </si>
  <si>
    <t>Pay Days</t>
  </si>
  <si>
    <t>tejaswinip672@gmail.com</t>
  </si>
  <si>
    <t>erppaymax.ysf@gmail.com</t>
  </si>
  <si>
    <t>pratikkothawale98@gmail.com</t>
  </si>
  <si>
    <t>patiltejaswini194@gmail.com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</si>
</sst>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0" fontId="1" fillId="0" borderId="0"/>
    <xf numFmtId="0" fontId="2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0" borderId="0"/>
    <xf numFmtId="0" fontId="3" fillId="0" borderId="0"/>
    <xf numFmtId="0" fontId="1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4" fillId="0" borderId="0"/>
    <xf numFmtId="0" fontId="7" fillId="0" borderId="0" applyNumberFormat="0" applyFill="0" applyBorder="0" applyAlignment="0" applyProtection="0"/>
  </cellStyleXfs>
  <cellXfs count="21">
    <xf numFmtId="0" fontId="0" fillId="0" borderId="0" xfId="0"/>
    <xf numFmtId="0" fontId="5" fillId="0" borderId="0" xfId="0" applyFont="1" applyFill="1" applyAlignment="1">
      <alignment horizontal="left"/>
    </xf>
    <xf numFmtId="0" fontId="5" fillId="0" borderId="0" xfId="0" applyFont="1" applyFill="1"/>
    <xf numFmtId="0" fontId="5" fillId="0" borderId="0" xfId="0" applyFont="1" applyFill="1" applyAlignment="1">
      <alignment vertical="center"/>
    </xf>
    <xf numFmtId="0" fontId="5" fillId="0" borderId="0" xfId="0" applyFont="1" applyFill="1" applyAlignment="1"/>
    <xf numFmtId="0" fontId="5" fillId="0" borderId="0" xfId="0" applyFont="1" applyFill="1" applyAlignment="1">
      <alignment horizontal="center"/>
    </xf>
    <xf numFmtId="1" fontId="5" fillId="0" borderId="0" xfId="0" applyNumberFormat="1" applyFont="1" applyFill="1" applyAlignment="1">
      <alignment horizontal="center"/>
    </xf>
    <xf numFmtId="1" fontId="5" fillId="0" borderId="1" xfId="0" applyNumberFormat="1" applyFont="1" applyFill="1" applyBorder="1" applyAlignment="1" applyProtection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 applyProtection="1">
      <alignment horizontal="center" vertical="center"/>
    </xf>
    <xf numFmtId="0" fontId="5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/>
    <xf numFmtId="2" fontId="5" fillId="0" borderId="1" xfId="0" quotePrefix="1" applyNumberFormat="1" applyFont="1" applyFill="1" applyBorder="1"/>
    <xf numFmtId="164" fontId="5" fillId="0" borderId="1" xfId="0" applyNumberFormat="1" applyFont="1" applyFill="1" applyBorder="1" applyAlignment="1" applyProtection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 applyProtection="1">
      <alignment horizontal="center" vertical="center"/>
    </xf>
    <xf numFmtId="0" fontId="5" fillId="0" borderId="1" xfId="0" quotePrefix="1" applyFont="1" applyFill="1" applyBorder="1"/>
    <xf numFmtId="1" fontId="5" fillId="8" borderId="1" xfId="0" applyNumberFormat="1" applyFont="1" applyFill="1" applyBorder="1" applyAlignment="1" applyProtection="1">
      <alignment horizontal="center" vertical="center"/>
    </xf>
    <xf numFmtId="0" fontId="7" fillId="0" borderId="1" xfId="10" applyFill="1" applyBorder="1" applyAlignment="1">
      <alignment horizontal="left" vertical="center"/>
    </xf>
  </cellXfs>
  <cellStyles count="11">
    <cellStyle name="20% - Accent2 2" xfId="6" xr:uid="{00000000-0005-0000-0000-000000000000}"/>
    <cellStyle name="40% - Accent1 2" xfId="3" xr:uid="{00000000-0005-0000-0000-000001000000}"/>
    <cellStyle name="60% - Accent2 2" xfId="8" xr:uid="{00000000-0005-0000-0000-000002000000}"/>
    <cellStyle name="Accent1 2" xfId="2" xr:uid="{00000000-0005-0000-0000-000003000000}"/>
    <cellStyle name="Accent4 2" xfId="7" xr:uid="{00000000-0005-0000-0000-000004000000}"/>
    <cellStyle name="Hyperlink" xfId="10" builtinId="8"/>
    <cellStyle name="Normal" xfId="0" builtinId="0"/>
    <cellStyle name="Normal 2" xfId="5" xr:uid="{00000000-0005-0000-0000-000006000000}"/>
    <cellStyle name="Normal 3" xfId="1" xr:uid="{00000000-0005-0000-0000-000007000000}"/>
    <cellStyle name="Normal 4" xfId="9" xr:uid="{00000000-0005-0000-0000-000008000000}"/>
    <cellStyle name="Normal 5" xfId="4" xr:uid="{00000000-0005-0000-0000-000009000000}"/>
  </cellStyles>
  <dxfs count="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33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ratikkothawale98@gmail.com" TargetMode="External"/><Relationship Id="rId2" Type="http://schemas.openxmlformats.org/officeDocument/2006/relationships/hyperlink" Target="mailto:erppaymax.ysf@gmail.com" TargetMode="External"/><Relationship Id="rId1" Type="http://schemas.openxmlformats.org/officeDocument/2006/relationships/hyperlink" Target="mailto:tejaswinip672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tejaswinip672@gmail.com" TargetMode="External"/><Relationship Id="rId4" Type="http://schemas.openxmlformats.org/officeDocument/2006/relationships/hyperlink" Target="mailto:patiltejaswini19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1"/>
  <sheetViews>
    <sheetView tabSelected="1" workbookViewId="0">
      <pane xSplit="3" ySplit="1" topLeftCell="G2" activePane="bottomRight" state="frozen"/>
      <selection pane="topRight" activeCell="E1" sqref="E1"/>
      <selection pane="bottomLeft" activeCell="A3" sqref="A3"/>
      <selection pane="bottomRight" activeCell="H14" sqref="H14"/>
    </sheetView>
  </sheetViews>
  <sheetFormatPr defaultColWidth="9" defaultRowHeight="14.4"/>
  <cols>
    <col min="1" max="1" width="6.09765625" style="2" bestFit="1" customWidth="1"/>
    <col min="2" max="2" width="9.3984375" style="1" customWidth="1"/>
    <col min="3" max="3" width="28.8984375" style="4" customWidth="1"/>
    <col min="4" max="4" width="9.69921875" style="4" bestFit="1" customWidth="1"/>
    <col min="5" max="6" width="9.69921875" style="4" customWidth="1"/>
    <col min="7" max="7" width="19.69921875" style="4" bestFit="1" customWidth="1"/>
    <col min="8" max="8" width="34.5" style="4" bestFit="1" customWidth="1"/>
    <col min="9" max="9" width="12.09765625" style="4" customWidth="1"/>
    <col min="10" max="10" width="29.69921875" style="4" customWidth="1"/>
    <col min="11" max="11" width="15.8984375" style="4" customWidth="1"/>
    <col min="12" max="12" width="14.09765625" style="4" customWidth="1"/>
    <col min="13" max="14" width="6.09765625" style="2" customWidth="1"/>
    <col min="15" max="16" width="7.3984375" style="2" customWidth="1"/>
    <col min="17" max="18" width="9" style="2" customWidth="1"/>
    <col min="19" max="19" width="11.3984375" style="2" bestFit="1" customWidth="1"/>
    <col min="20" max="20" width="10.3984375" style="2" bestFit="1" customWidth="1"/>
    <col min="21" max="21" width="11.3984375" style="2" bestFit="1" customWidth="1"/>
    <col min="22" max="22" width="9.3984375" style="2" customWidth="1"/>
    <col min="23" max="23" width="9.3984375" style="5" bestFit="1" customWidth="1"/>
    <col min="24" max="24" width="9.3984375" style="5" customWidth="1"/>
    <col min="25" max="25" width="11" style="2" bestFit="1" customWidth="1"/>
    <col min="26" max="26" width="10.3984375" style="5" bestFit="1" customWidth="1"/>
    <col min="27" max="28" width="8.19921875" style="5" customWidth="1"/>
    <col min="29" max="30" width="8.19921875" style="2" customWidth="1"/>
    <col min="31" max="31" width="8.19921875" style="5" customWidth="1"/>
    <col min="32" max="32" width="8.3984375" style="2" customWidth="1"/>
    <col min="33" max="35" width="8.19921875" style="2" customWidth="1"/>
    <col min="36" max="36" width="10.3984375" style="2" bestFit="1" customWidth="1"/>
    <col min="37" max="37" width="11.3984375" style="2" bestFit="1" customWidth="1"/>
    <col min="38" max="16384" width="9" style="2"/>
  </cols>
  <sheetData>
    <row r="1" spans="1:38" s="3" customFormat="1" ht="57.6">
      <c r="A1" s="8" t="s">
        <v>2</v>
      </c>
      <c r="B1" s="8" t="s">
        <v>3</v>
      </c>
      <c r="C1" s="8" t="s">
        <v>4</v>
      </c>
      <c r="D1" s="8" t="s">
        <v>62</v>
      </c>
      <c r="E1" s="8" t="s">
        <v>63</v>
      </c>
      <c r="F1" s="8"/>
      <c r="G1" s="8" t="s">
        <v>64</v>
      </c>
      <c r="H1" s="8" t="s">
        <v>65</v>
      </c>
      <c r="I1" s="8" t="s">
        <v>5</v>
      </c>
      <c r="J1" s="8" t="s">
        <v>6</v>
      </c>
      <c r="K1" s="8" t="s">
        <v>7</v>
      </c>
      <c r="L1" s="8" t="s">
        <v>8</v>
      </c>
      <c r="M1" s="8"/>
      <c r="N1" s="8"/>
      <c r="O1" s="8" t="s">
        <v>1</v>
      </c>
      <c r="P1" s="8" t="s">
        <v>61</v>
      </c>
      <c r="Q1" s="8" t="s">
        <v>76</v>
      </c>
      <c r="R1" s="8"/>
      <c r="S1" s="8" t="s">
        <v>9</v>
      </c>
      <c r="T1" s="8" t="s">
        <v>10</v>
      </c>
      <c r="U1" s="8" t="s">
        <v>11</v>
      </c>
      <c r="V1" s="8" t="s">
        <v>35</v>
      </c>
      <c r="W1" s="8" t="s">
        <v>12</v>
      </c>
      <c r="X1" s="8" t="s">
        <v>29</v>
      </c>
      <c r="Y1" s="8" t="s">
        <v>13</v>
      </c>
      <c r="Z1" s="8" t="s">
        <v>14</v>
      </c>
      <c r="AA1" s="8" t="s">
        <v>15</v>
      </c>
      <c r="AB1" s="8" t="s">
        <v>16</v>
      </c>
      <c r="AC1" s="8" t="s">
        <v>37</v>
      </c>
      <c r="AD1" s="8" t="s">
        <v>17</v>
      </c>
      <c r="AE1" s="8" t="s">
        <v>18</v>
      </c>
      <c r="AF1" s="8" t="s">
        <v>19</v>
      </c>
      <c r="AG1" s="8" t="s">
        <v>20</v>
      </c>
      <c r="AH1" s="8" t="s">
        <v>21</v>
      </c>
      <c r="AI1" s="8" t="s">
        <v>22</v>
      </c>
      <c r="AJ1" s="8" t="s">
        <v>23</v>
      </c>
      <c r="AK1" s="8" t="s">
        <v>24</v>
      </c>
      <c r="AL1" s="10"/>
    </row>
    <row r="2" spans="1:38" s="3" customFormat="1">
      <c r="A2" s="11">
        <v>1</v>
      </c>
      <c r="B2" s="12">
        <v>50001314</v>
      </c>
      <c r="C2" s="16" t="s">
        <v>33</v>
      </c>
      <c r="D2" t="s">
        <v>57</v>
      </c>
      <c r="E2" s="12" t="s">
        <v>72</v>
      </c>
      <c r="F2" s="12" t="str">
        <f>TEXT(D2,"DD-MMM-YYYY")</f>
        <v xml:space="preserve"> 14/01/2026</v>
      </c>
      <c r="G2" s="12" t="s">
        <v>68</v>
      </c>
      <c r="H2" s="20" t="s">
        <v>77</v>
      </c>
      <c r="I2" s="13" t="s">
        <v>45</v>
      </c>
      <c r="J2" s="13" t="s">
        <v>26</v>
      </c>
      <c r="K2" s="14" t="s">
        <v>46</v>
      </c>
      <c r="L2" s="13" t="s">
        <v>47</v>
      </c>
      <c r="M2" s="11" t="str">
        <f t="shared" ref="M2:M7" si="0">IF(MID(L2,5,1)&lt;&gt;"0","CHECK IFSC","OK")</f>
        <v>OK</v>
      </c>
      <c r="N2" s="11">
        <f t="shared" ref="N2:N7" si="1">LEN(L2)</f>
        <v>11</v>
      </c>
      <c r="O2" s="9">
        <v>31</v>
      </c>
      <c r="P2" s="9">
        <v>0</v>
      </c>
      <c r="Q2" s="15">
        <v>18</v>
      </c>
      <c r="R2" s="15" t="s">
        <v>74</v>
      </c>
      <c r="S2" s="9">
        <v>13146</v>
      </c>
      <c r="T2" s="7">
        <f t="shared" ref="T2:T7" si="2">S2/O2</f>
        <v>424.06451612903226</v>
      </c>
      <c r="U2" s="7">
        <f t="shared" ref="U2:U7" si="3">T2*Q2</f>
        <v>7633.1612903225805</v>
      </c>
      <c r="V2" s="7">
        <v>106</v>
      </c>
      <c r="W2" s="7">
        <v>0</v>
      </c>
      <c r="X2" s="7">
        <v>0</v>
      </c>
      <c r="Y2" s="7">
        <f t="shared" ref="Y2:Y7" si="4">U2+X2+W2+V2</f>
        <v>7739.1612903225805</v>
      </c>
      <c r="Z2" s="9">
        <v>256.5</v>
      </c>
      <c r="AA2" s="9">
        <v>0</v>
      </c>
      <c r="AB2" s="9"/>
      <c r="AC2" s="9">
        <v>0</v>
      </c>
      <c r="AD2" s="9">
        <v>0</v>
      </c>
      <c r="AE2" s="9"/>
      <c r="AF2" s="9"/>
      <c r="AG2" s="9"/>
      <c r="AH2" s="9"/>
      <c r="AI2" s="9"/>
      <c r="AJ2" s="9">
        <f t="shared" ref="AJ2:AJ7" si="5">Z2+AA2+AB2+AC2+AD2+AE2+AF2+AG2+AH2</f>
        <v>256.5</v>
      </c>
      <c r="AK2" s="9">
        <f t="shared" ref="AK2:AK7" si="6">ROUND((Y2-AJ2),0)</f>
        <v>7483</v>
      </c>
      <c r="AL2" s="10"/>
    </row>
    <row r="3" spans="1:38" s="3" customFormat="1">
      <c r="A3" s="11">
        <v>2</v>
      </c>
      <c r="B3" s="12">
        <v>50001306</v>
      </c>
      <c r="C3" s="16" t="s">
        <v>31</v>
      </c>
      <c r="D3" t="s">
        <v>58</v>
      </c>
      <c r="E3" s="12" t="s">
        <v>71</v>
      </c>
      <c r="F3" s="12"/>
      <c r="G3" s="12" t="s">
        <v>66</v>
      </c>
      <c r="H3" s="20" t="s">
        <v>78</v>
      </c>
      <c r="I3" s="13" t="s">
        <v>39</v>
      </c>
      <c r="J3" s="13" t="s">
        <v>27</v>
      </c>
      <c r="K3" s="14" t="s">
        <v>40</v>
      </c>
      <c r="L3" s="13" t="s">
        <v>41</v>
      </c>
      <c r="M3" s="11" t="str">
        <f t="shared" si="0"/>
        <v>OK</v>
      </c>
      <c r="N3" s="11">
        <f t="shared" si="1"/>
        <v>11</v>
      </c>
      <c r="O3" s="9">
        <v>31</v>
      </c>
      <c r="P3" s="9">
        <v>0</v>
      </c>
      <c r="Q3" s="15">
        <v>16</v>
      </c>
      <c r="R3" s="15" t="s">
        <v>74</v>
      </c>
      <c r="S3" s="9">
        <v>13146</v>
      </c>
      <c r="T3" s="7">
        <f t="shared" si="2"/>
        <v>424.06451612903226</v>
      </c>
      <c r="U3" s="7">
        <f t="shared" si="3"/>
        <v>6785.0322580645161</v>
      </c>
      <c r="V3" s="7">
        <v>0</v>
      </c>
      <c r="W3" s="7">
        <v>0</v>
      </c>
      <c r="X3" s="7">
        <v>0</v>
      </c>
      <c r="Y3" s="7">
        <f t="shared" si="4"/>
        <v>6785.0322580645161</v>
      </c>
      <c r="Z3" s="9">
        <v>206.8</v>
      </c>
      <c r="AA3" s="9">
        <v>0</v>
      </c>
      <c r="AB3" s="9"/>
      <c r="AC3" s="9">
        <v>0</v>
      </c>
      <c r="AD3" s="9">
        <v>0</v>
      </c>
      <c r="AE3" s="9"/>
      <c r="AF3" s="9"/>
      <c r="AG3" s="9"/>
      <c r="AH3" s="9"/>
      <c r="AI3" s="9"/>
      <c r="AJ3" s="9">
        <f t="shared" si="5"/>
        <v>206.8</v>
      </c>
      <c r="AK3" s="9">
        <f t="shared" si="6"/>
        <v>6578</v>
      </c>
      <c r="AL3" s="10"/>
    </row>
    <row r="4" spans="1:38" s="3" customFormat="1">
      <c r="A4" s="11">
        <v>3</v>
      </c>
      <c r="B4" s="12">
        <v>50001356</v>
      </c>
      <c r="C4" s="16" t="s">
        <v>34</v>
      </c>
      <c r="D4" t="s">
        <v>60</v>
      </c>
      <c r="E4" s="12" t="s">
        <v>70</v>
      </c>
      <c r="F4" s="12"/>
      <c r="G4" s="12" t="s">
        <v>68</v>
      </c>
      <c r="H4" s="20" t="s">
        <v>79</v>
      </c>
      <c r="I4" s="13" t="s">
        <v>51</v>
      </c>
      <c r="J4" s="13" t="s">
        <v>28</v>
      </c>
      <c r="K4" s="14" t="s">
        <v>52</v>
      </c>
      <c r="L4" s="13" t="s">
        <v>53</v>
      </c>
      <c r="M4" s="11" t="str">
        <f t="shared" si="0"/>
        <v>OK</v>
      </c>
      <c r="N4" s="11">
        <f t="shared" si="1"/>
        <v>11</v>
      </c>
      <c r="O4" s="9">
        <v>31</v>
      </c>
      <c r="P4" s="9">
        <v>0.875</v>
      </c>
      <c r="Q4" s="15">
        <v>4.125</v>
      </c>
      <c r="R4" s="15" t="s">
        <v>74</v>
      </c>
      <c r="S4" s="9">
        <v>13146</v>
      </c>
      <c r="T4" s="7">
        <f t="shared" si="2"/>
        <v>424.06451612903226</v>
      </c>
      <c r="U4" s="7">
        <f t="shared" si="3"/>
        <v>1749.266129032258</v>
      </c>
      <c r="V4" s="7">
        <v>0</v>
      </c>
      <c r="W4" s="7">
        <v>0</v>
      </c>
      <c r="X4" s="7">
        <v>0</v>
      </c>
      <c r="Y4" s="7">
        <f t="shared" si="4"/>
        <v>1749.266129032258</v>
      </c>
      <c r="Z4" s="9">
        <v>31.7</v>
      </c>
      <c r="AA4" s="9">
        <v>0</v>
      </c>
      <c r="AB4" s="9"/>
      <c r="AC4" s="9">
        <v>0</v>
      </c>
      <c r="AD4" s="9">
        <v>0</v>
      </c>
      <c r="AE4" s="9"/>
      <c r="AF4" s="9"/>
      <c r="AG4" s="9"/>
      <c r="AH4" s="9"/>
      <c r="AI4" s="9"/>
      <c r="AJ4" s="9">
        <f t="shared" si="5"/>
        <v>31.7</v>
      </c>
      <c r="AK4" s="9">
        <f t="shared" si="6"/>
        <v>1718</v>
      </c>
      <c r="AL4" s="10"/>
    </row>
    <row r="5" spans="1:38" s="3" customFormat="1">
      <c r="A5" s="11">
        <v>4</v>
      </c>
      <c r="B5" s="12">
        <v>50001327</v>
      </c>
      <c r="C5" s="16" t="s">
        <v>0</v>
      </c>
      <c r="D5" t="s">
        <v>59</v>
      </c>
      <c r="E5" s="12" t="s">
        <v>73</v>
      </c>
      <c r="F5" s="12"/>
      <c r="G5" s="12" t="s">
        <v>68</v>
      </c>
      <c r="H5" s="20" t="s">
        <v>80</v>
      </c>
      <c r="I5" s="13" t="s">
        <v>48</v>
      </c>
      <c r="J5" s="13" t="s">
        <v>30</v>
      </c>
      <c r="K5" s="14" t="s">
        <v>49</v>
      </c>
      <c r="L5" s="13" t="s">
        <v>50</v>
      </c>
      <c r="M5" s="11" t="str">
        <f t="shared" si="0"/>
        <v>OK</v>
      </c>
      <c r="N5" s="11">
        <f t="shared" si="1"/>
        <v>11</v>
      </c>
      <c r="O5" s="9">
        <v>31</v>
      </c>
      <c r="P5" s="9">
        <v>0.625</v>
      </c>
      <c r="Q5" s="15">
        <v>10.375</v>
      </c>
      <c r="R5" s="15" t="s">
        <v>74</v>
      </c>
      <c r="S5" s="9">
        <v>13146</v>
      </c>
      <c r="T5" s="7">
        <f t="shared" si="2"/>
        <v>424.06451612903226</v>
      </c>
      <c r="U5" s="7">
        <f t="shared" si="3"/>
        <v>4399.6693548387093</v>
      </c>
      <c r="V5" s="7">
        <v>106</v>
      </c>
      <c r="W5" s="7">
        <v>0</v>
      </c>
      <c r="X5" s="7">
        <v>0</v>
      </c>
      <c r="Y5" s="7">
        <f t="shared" si="4"/>
        <v>4505.6693548387093</v>
      </c>
      <c r="Z5" s="9">
        <v>170.3</v>
      </c>
      <c r="AA5" s="9">
        <v>0</v>
      </c>
      <c r="AB5" s="9"/>
      <c r="AC5" s="9">
        <v>0</v>
      </c>
      <c r="AD5" s="9">
        <v>0</v>
      </c>
      <c r="AE5" s="9"/>
      <c r="AF5" s="9"/>
      <c r="AG5" s="9"/>
      <c r="AH5" s="9"/>
      <c r="AI5" s="9"/>
      <c r="AJ5" s="9">
        <f t="shared" si="5"/>
        <v>170.3</v>
      </c>
      <c r="AK5" s="9">
        <f t="shared" si="6"/>
        <v>4335</v>
      </c>
      <c r="AL5" s="10"/>
    </row>
    <row r="6" spans="1:38" s="3" customFormat="1">
      <c r="A6" s="11">
        <v>5</v>
      </c>
      <c r="B6" s="12">
        <v>50001308</v>
      </c>
      <c r="C6" s="16" t="s">
        <v>32</v>
      </c>
      <c r="D6" t="s">
        <v>58</v>
      </c>
      <c r="E6" s="12" t="s">
        <v>69</v>
      </c>
      <c r="F6" s="12"/>
      <c r="G6" s="12" t="s">
        <v>67</v>
      </c>
      <c r="H6" s="20" t="s">
        <v>77</v>
      </c>
      <c r="I6" s="13" t="s">
        <v>42</v>
      </c>
      <c r="J6" s="13" t="s">
        <v>26</v>
      </c>
      <c r="K6" s="14" t="s">
        <v>43</v>
      </c>
      <c r="L6" s="13" t="s">
        <v>44</v>
      </c>
      <c r="M6" s="11" t="str">
        <f t="shared" si="0"/>
        <v>OK</v>
      </c>
      <c r="N6" s="11">
        <f t="shared" si="1"/>
        <v>11</v>
      </c>
      <c r="O6" s="9">
        <v>31</v>
      </c>
      <c r="P6" s="9">
        <v>0</v>
      </c>
      <c r="Q6" s="15">
        <v>16</v>
      </c>
      <c r="R6" s="15" t="s">
        <v>74</v>
      </c>
      <c r="S6" s="9">
        <v>13146</v>
      </c>
      <c r="T6" s="7">
        <f t="shared" si="2"/>
        <v>424.06451612903226</v>
      </c>
      <c r="U6" s="7">
        <f t="shared" si="3"/>
        <v>6785.0322580645161</v>
      </c>
      <c r="V6" s="7">
        <v>0</v>
      </c>
      <c r="W6" s="7">
        <v>0</v>
      </c>
      <c r="X6" s="7">
        <v>0</v>
      </c>
      <c r="Y6" s="7">
        <f t="shared" si="4"/>
        <v>6785.0322580645161</v>
      </c>
      <c r="Z6" s="9">
        <v>248.3</v>
      </c>
      <c r="AA6" s="9">
        <v>0</v>
      </c>
      <c r="AB6" s="9"/>
      <c r="AC6" s="9">
        <v>0</v>
      </c>
      <c r="AD6" s="9">
        <v>0</v>
      </c>
      <c r="AE6" s="9"/>
      <c r="AF6" s="9"/>
      <c r="AG6" s="9"/>
      <c r="AH6" s="9"/>
      <c r="AI6" s="9"/>
      <c r="AJ6" s="9">
        <f t="shared" si="5"/>
        <v>248.3</v>
      </c>
      <c r="AK6" s="9">
        <f t="shared" si="6"/>
        <v>6537</v>
      </c>
      <c r="AL6" s="10"/>
    </row>
    <row r="7" spans="1:38" s="3" customFormat="1">
      <c r="A7" s="11">
        <v>6</v>
      </c>
      <c r="B7" s="12">
        <v>60010726</v>
      </c>
      <c r="C7" s="16" t="s">
        <v>36</v>
      </c>
      <c r="D7"/>
      <c r="E7" s="12"/>
      <c r="F7" s="12"/>
      <c r="G7" s="12"/>
      <c r="H7" s="12"/>
      <c r="I7" s="18" t="s">
        <v>56</v>
      </c>
      <c r="J7" s="13" t="s">
        <v>54</v>
      </c>
      <c r="K7" s="14" t="s">
        <v>55</v>
      </c>
      <c r="L7" s="13" t="s">
        <v>25</v>
      </c>
      <c r="M7" s="11" t="str">
        <f t="shared" si="0"/>
        <v>OK</v>
      </c>
      <c r="N7" s="11">
        <f t="shared" si="1"/>
        <v>11</v>
      </c>
      <c r="O7" s="9">
        <v>31</v>
      </c>
      <c r="P7" s="9"/>
      <c r="Q7" s="15">
        <v>31</v>
      </c>
      <c r="R7" s="15" t="s">
        <v>75</v>
      </c>
      <c r="S7" s="9">
        <v>16494</v>
      </c>
      <c r="T7" s="7">
        <f t="shared" si="2"/>
        <v>532.06451612903231</v>
      </c>
      <c r="U7" s="7">
        <f t="shared" si="3"/>
        <v>16494</v>
      </c>
      <c r="V7" s="7">
        <v>0</v>
      </c>
      <c r="W7" s="7">
        <v>500</v>
      </c>
      <c r="X7" s="7"/>
      <c r="Y7" s="7">
        <f t="shared" si="4"/>
        <v>16994</v>
      </c>
      <c r="Z7" s="9">
        <v>678.63</v>
      </c>
      <c r="AA7" s="9">
        <v>0</v>
      </c>
      <c r="AB7" s="9"/>
      <c r="AC7" s="9">
        <v>0</v>
      </c>
      <c r="AD7" s="9">
        <v>0</v>
      </c>
      <c r="AE7" s="9"/>
      <c r="AF7" s="9"/>
      <c r="AG7" s="9"/>
      <c r="AH7" s="9"/>
      <c r="AI7" s="9"/>
      <c r="AJ7" s="9">
        <f t="shared" si="5"/>
        <v>678.63</v>
      </c>
      <c r="AK7" s="9">
        <f t="shared" si="6"/>
        <v>16315</v>
      </c>
      <c r="AL7" s="10"/>
    </row>
    <row r="8" spans="1:38" s="3" customFormat="1">
      <c r="A8" s="11"/>
      <c r="B8" s="12"/>
      <c r="C8" s="12"/>
      <c r="D8" s="12"/>
      <c r="E8" s="12"/>
      <c r="F8" s="12"/>
      <c r="G8" s="12"/>
      <c r="H8" s="12"/>
      <c r="I8" s="13"/>
      <c r="J8" s="13"/>
      <c r="K8" s="18"/>
      <c r="L8" s="13"/>
      <c r="M8" s="11"/>
      <c r="N8" s="11"/>
      <c r="O8" s="9">
        <f>SUM(O2:O7)</f>
        <v>186</v>
      </c>
      <c r="P8" s="9"/>
      <c r="Q8" s="17">
        <f>SUM(Q2:Q7)</f>
        <v>95.5</v>
      </c>
      <c r="R8" s="17"/>
      <c r="S8" s="9">
        <f t="shared" ref="S8:AK8" si="7">SUM(S2:S7)</f>
        <v>82224</v>
      </c>
      <c r="T8" s="9">
        <f t="shared" si="7"/>
        <v>2652.3870967741937</v>
      </c>
      <c r="U8" s="9">
        <f t="shared" si="7"/>
        <v>43846.161290322576</v>
      </c>
      <c r="V8" s="17">
        <f t="shared" si="7"/>
        <v>212</v>
      </c>
      <c r="W8" s="19">
        <f t="shared" si="7"/>
        <v>500</v>
      </c>
      <c r="X8" s="19">
        <f t="shared" si="7"/>
        <v>0</v>
      </c>
      <c r="Y8" s="19">
        <f t="shared" si="7"/>
        <v>44558.161290322576</v>
      </c>
      <c r="Z8" s="17">
        <f t="shared" si="7"/>
        <v>1592.23</v>
      </c>
      <c r="AA8" s="17">
        <f t="shared" si="7"/>
        <v>0</v>
      </c>
      <c r="AB8" s="9">
        <f t="shared" si="7"/>
        <v>0</v>
      </c>
      <c r="AC8" s="17">
        <f t="shared" si="7"/>
        <v>0</v>
      </c>
      <c r="AD8" s="17">
        <f t="shared" si="7"/>
        <v>0</v>
      </c>
      <c r="AE8" s="9">
        <f t="shared" si="7"/>
        <v>0</v>
      </c>
      <c r="AF8" s="9">
        <f t="shared" si="7"/>
        <v>0</v>
      </c>
      <c r="AG8" s="9">
        <f t="shared" si="7"/>
        <v>0</v>
      </c>
      <c r="AH8" s="9">
        <f t="shared" si="7"/>
        <v>0</v>
      </c>
      <c r="AI8" s="9">
        <f t="shared" si="7"/>
        <v>0</v>
      </c>
      <c r="AJ8" s="9">
        <f t="shared" si="7"/>
        <v>1592.23</v>
      </c>
      <c r="AK8" s="17">
        <f t="shared" si="7"/>
        <v>42966</v>
      </c>
      <c r="AL8" s="10" t="s">
        <v>38</v>
      </c>
    </row>
    <row r="11" spans="1:38">
      <c r="X11" s="6"/>
    </row>
  </sheetData>
  <autoFilter ref="A1:AL8" xr:uid="{36028B8A-88B4-4EB6-BD66-5EB00B6BFAC3}"/>
  <conditionalFormatting sqref="B1:B1048576">
    <cfRule type="duplicateValues" dxfId="61" priority="33"/>
    <cfRule type="duplicateValues" dxfId="60" priority="34"/>
    <cfRule type="duplicateValues" dxfId="59" priority="36"/>
    <cfRule type="duplicateValues" dxfId="58" priority="38"/>
  </conditionalFormatting>
  <conditionalFormatting sqref="C8:H1048576 C1:H1 C2:C7 E2:H7">
    <cfRule type="duplicateValues" dxfId="57" priority="15656"/>
    <cfRule type="duplicateValues" dxfId="56" priority="15657"/>
  </conditionalFormatting>
  <conditionalFormatting sqref="C1:H1">
    <cfRule type="duplicateValues" dxfId="55" priority="15644"/>
  </conditionalFormatting>
  <conditionalFormatting sqref="I1:I1048576">
    <cfRule type="duplicateValues" dxfId="54" priority="57"/>
  </conditionalFormatting>
  <conditionalFormatting sqref="I1:L1048576">
    <cfRule type="duplicateValues" dxfId="53" priority="14998"/>
  </conditionalFormatting>
  <conditionalFormatting sqref="K1:K1048576">
    <cfRule type="duplicateValues" dxfId="52" priority="35"/>
    <cfRule type="duplicateValues" dxfId="51" priority="56"/>
    <cfRule type="duplicateValues" dxfId="50" priority="270"/>
    <cfRule type="duplicateValues" dxfId="49" priority="271"/>
    <cfRule type="duplicateValues" dxfId="48" priority="272"/>
    <cfRule type="duplicateValues" dxfId="47" priority="273" stopIfTrue="1"/>
  </conditionalFormatting>
  <conditionalFormatting sqref="L8:L65287 M2:M8">
    <cfRule type="cellIs" dxfId="46" priority="268" stopIfTrue="1" operator="equal">
      <formula>"ok"</formula>
    </cfRule>
  </conditionalFormatting>
  <conditionalFormatting sqref="M8:M65287 N2:N8">
    <cfRule type="cellIs" dxfId="45" priority="266" stopIfTrue="1" operator="equal">
      <formula>11</formula>
    </cfRule>
  </conditionalFormatting>
  <conditionalFormatting sqref="B1:B1048576">
    <cfRule type="duplicateValues" dxfId="44" priority="19123"/>
    <cfRule type="duplicateValues" dxfId="43" priority="19124"/>
    <cfRule type="duplicateValues" dxfId="42" priority="19125" stopIfTrue="1"/>
  </conditionalFormatting>
  <conditionalFormatting sqref="C8:H8">
    <cfRule type="duplicateValues" dxfId="41" priority="26083" stopIfTrue="1"/>
  </conditionalFormatting>
  <conditionalFormatting sqref="C8:H8">
    <cfRule type="duplicateValues" dxfId="40" priority="26085" stopIfTrue="1"/>
    <cfRule type="duplicateValues" dxfId="39" priority="26086"/>
    <cfRule type="duplicateValues" dxfId="38" priority="26087"/>
    <cfRule type="duplicateValues" dxfId="37" priority="26088"/>
  </conditionalFormatting>
  <conditionalFormatting sqref="B8:H65287 B1:H1 B2:C7 E2:H7">
    <cfRule type="duplicateValues" dxfId="36" priority="26093"/>
  </conditionalFormatting>
  <conditionalFormatting sqref="C8:H65287 C2:C7 E2:H7">
    <cfRule type="duplicateValues" dxfId="35" priority="26097" stopIfTrue="1"/>
  </conditionalFormatting>
  <conditionalFormatting sqref="C8:H8 C2:C7 E2:H7">
    <cfRule type="duplicateValues" dxfId="34" priority="26099" stopIfTrue="1"/>
  </conditionalFormatting>
  <conditionalFormatting sqref="C8:H8 C1:H1 C2:C7 E2:H7">
    <cfRule type="duplicateValues" dxfId="33" priority="26109"/>
  </conditionalFormatting>
  <conditionalFormatting sqref="C8:H65287 C1:H1 C2:C7 E2:H7">
    <cfRule type="duplicateValues" dxfId="32" priority="26111"/>
    <cfRule type="duplicateValues" dxfId="31" priority="26112"/>
    <cfRule type="duplicateValues" dxfId="30" priority="26113"/>
    <cfRule type="duplicateValues" dxfId="29" priority="26114"/>
    <cfRule type="duplicateValues" dxfId="28" priority="26115"/>
  </conditionalFormatting>
  <conditionalFormatting sqref="G3">
    <cfRule type="duplicateValues" dxfId="27" priority="26134" stopIfTrue="1"/>
  </conditionalFormatting>
  <conditionalFormatting sqref="G5">
    <cfRule type="duplicateValues" dxfId="26" priority="26135" stopIfTrue="1"/>
  </conditionalFormatting>
  <conditionalFormatting sqref="G6">
    <cfRule type="duplicateValues" dxfId="25" priority="26136" stopIfTrue="1"/>
  </conditionalFormatting>
  <conditionalFormatting sqref="G7">
    <cfRule type="duplicateValues" dxfId="24" priority="26137" stopIfTrue="1"/>
  </conditionalFormatting>
  <conditionalFormatting sqref="C2 E2:H2">
    <cfRule type="duplicateValues" dxfId="23" priority="26138" stopIfTrue="1"/>
    <cfRule type="duplicateValues" dxfId="22" priority="26139" stopIfTrue="1"/>
  </conditionalFormatting>
  <conditionalFormatting sqref="C3 E3:H3">
    <cfRule type="duplicateValues" dxfId="21" priority="26142" stopIfTrue="1"/>
    <cfRule type="duplicateValues" dxfId="20" priority="26143" stopIfTrue="1"/>
  </conditionalFormatting>
  <conditionalFormatting sqref="C3:C6 E3:H6">
    <cfRule type="duplicateValues" dxfId="19" priority="26146" stopIfTrue="1"/>
  </conditionalFormatting>
  <conditionalFormatting sqref="G4">
    <cfRule type="duplicateValues" dxfId="18" priority="26187" stopIfTrue="1"/>
  </conditionalFormatting>
  <conditionalFormatting sqref="B1:B7">
    <cfRule type="duplicateValues" dxfId="17" priority="26188" stopIfTrue="1"/>
  </conditionalFormatting>
  <conditionalFormatting sqref="C4:C7 E4:H7">
    <cfRule type="duplicateValues" dxfId="16" priority="26189" stopIfTrue="1"/>
  </conditionalFormatting>
  <conditionalFormatting sqref="L2:L8">
    <cfRule type="duplicateValues" dxfId="15" priority="26191"/>
  </conditionalFormatting>
  <conditionalFormatting sqref="L8">
    <cfRule type="duplicateValues" dxfId="14" priority="26193"/>
  </conditionalFormatting>
  <conditionalFormatting sqref="I8:J65287">
    <cfRule type="duplicateValues" dxfId="13" priority="26194" stopIfTrue="1"/>
  </conditionalFormatting>
  <conditionalFormatting sqref="I8:J65287 I1:J1">
    <cfRule type="duplicateValues" dxfId="12" priority="26195"/>
  </conditionalFormatting>
  <conditionalFormatting sqref="I8:L65287 I1:L1">
    <cfRule type="duplicateValues" dxfId="11" priority="26197"/>
    <cfRule type="duplicateValues" dxfId="10" priority="26198"/>
    <cfRule type="duplicateValues" dxfId="9" priority="26199"/>
  </conditionalFormatting>
  <conditionalFormatting sqref="B8">
    <cfRule type="duplicateValues" dxfId="8" priority="26203"/>
    <cfRule type="duplicateValues" dxfId="7" priority="26204"/>
  </conditionalFormatting>
  <conditionalFormatting sqref="B1:B65287">
    <cfRule type="duplicateValues" dxfId="6" priority="26208"/>
  </conditionalFormatting>
  <conditionalFormatting sqref="I2:J8">
    <cfRule type="duplicateValues" dxfId="5" priority="26214"/>
  </conditionalFormatting>
  <conditionalFormatting sqref="J2:J8">
    <cfRule type="duplicateValues" dxfId="4" priority="26216"/>
  </conditionalFormatting>
  <conditionalFormatting sqref="K2:K8">
    <cfRule type="duplicateValues" dxfId="3" priority="26218"/>
  </conditionalFormatting>
  <conditionalFormatting sqref="M2:N8">
    <cfRule type="duplicateValues" dxfId="2" priority="26220" stopIfTrue="1"/>
  </conditionalFormatting>
  <conditionalFormatting sqref="H6">
    <cfRule type="duplicateValues" dxfId="1" priority="1" stopIfTrue="1"/>
    <cfRule type="duplicateValues" dxfId="0" priority="2" stopIfTrue="1"/>
  </conditionalFormatting>
  <hyperlinks>
    <hyperlink ref="H2" r:id="rId1" xr:uid="{6131FEF6-63DD-4648-BAC0-328DC04EEC5A}"/>
    <hyperlink ref="H3" r:id="rId2" xr:uid="{77F1C5F8-8BAB-49FB-B351-F43FB828CF1F}"/>
    <hyperlink ref="H4" r:id="rId3" xr:uid="{EE444DC2-0A85-46E6-AE5B-C39D46771DFD}"/>
    <hyperlink ref="H5" r:id="rId4" xr:uid="{FEA18DE0-5D9C-48A6-A09F-C728B94CD2F5}"/>
    <hyperlink ref="H6" r:id="rId5" xr:uid="{91F2C827-BC31-432B-B369-0A86A7055BDF}"/>
  </hyperlinks>
  <pageMargins left="0.7" right="0.7" top="0.75" bottom="0.75" header="0.3" footer="0.3"/>
  <pageSetup scale="130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 PRAKHAR</dc:creator>
  <cp:lastModifiedBy>DELL</cp:lastModifiedBy>
  <cp:lastPrinted>2025-11-08T11:20:52Z</cp:lastPrinted>
  <dcterms:created xsi:type="dcterms:W3CDTF">2025-03-05T08:39:49Z</dcterms:created>
  <dcterms:modified xsi:type="dcterms:W3CDTF">2026-04-09T07:48:25Z</dcterms:modified>
</cp:coreProperties>
</file>